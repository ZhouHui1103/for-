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111"/>
  <workbookPr/>
  <mc:AlternateContent xmlns:mc="http://schemas.openxmlformats.org/markup-compatibility/2006">
    <mc:Choice Requires="x15">
      <x15ac:absPath xmlns:x15ac="http://schemas.microsoft.com/office/spreadsheetml/2010/11/ac" url="/Users/siliconluo/ForChange/part-time/"/>
    </mc:Choice>
  </mc:AlternateContent>
  <xr:revisionPtr revIDLastSave="0" documentId="13_ncr:1_{D72FC105-D26D-3D42-AD86-07B84391C261}" xr6:coauthVersionLast="47" xr6:coauthVersionMax="47" xr10:uidLastSave="{00000000-0000-0000-0000-000000000000}"/>
  <bookViews>
    <workbookView xWindow="0" yWindow="520" windowWidth="28800" windowHeight="17500" xr2:uid="{00000000-000D-0000-FFFF-FFFF00000000}"/>
  </bookViews>
  <sheets>
    <sheet name="Dashboard" sheetId="1" r:id="rId1"/>
    <sheet name="模型计算" sheetId="2" r:id="rId2"/>
    <sheet name="数据源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C76" i="2" l="1"/>
  <c r="C135" i="2"/>
  <c r="B92" i="1" s="1"/>
  <c r="B64" i="2"/>
  <c r="C140" i="2" s="1"/>
  <c r="C130" i="2"/>
  <c r="B27" i="2"/>
  <c r="B57" i="2"/>
  <c r="B54" i="2"/>
  <c r="B55" i="2"/>
  <c r="B56" i="2"/>
  <c r="B53" i="2"/>
  <c r="B52" i="2"/>
  <c r="B66" i="2"/>
  <c r="B65" i="2"/>
  <c r="B63" i="2"/>
  <c r="B47" i="2"/>
  <c r="B45" i="2"/>
  <c r="C145" i="2" s="1"/>
  <c r="B43" i="2"/>
  <c r="B41" i="2"/>
  <c r="B39" i="2"/>
  <c r="B31" i="2"/>
  <c r="B30" i="2"/>
  <c r="B29" i="2"/>
  <c r="B28" i="2"/>
  <c r="B22" i="2"/>
  <c r="C85" i="2" s="1"/>
  <c r="B20" i="2"/>
  <c r="B19" i="2"/>
  <c r="B17" i="2"/>
  <c r="B16" i="2"/>
  <c r="B15" i="2"/>
  <c r="B14" i="2"/>
  <c r="C100" i="2" s="1"/>
  <c r="B13" i="2"/>
  <c r="C82" i="2" s="1"/>
  <c r="B12" i="2"/>
  <c r="B10" i="2"/>
  <c r="D98" i="2" s="1"/>
  <c r="B9" i="2"/>
  <c r="C81" i="2" s="1"/>
  <c r="B8" i="2"/>
  <c r="C75" i="2" s="1"/>
  <c r="C77" i="2" l="1"/>
  <c r="D97" i="2"/>
  <c r="C78" i="2"/>
  <c r="C121" i="2"/>
  <c r="C120" i="2"/>
  <c r="C134" i="2"/>
  <c r="B91" i="1" s="1"/>
  <c r="B97" i="1"/>
  <c r="B102" i="1"/>
  <c r="C83" i="2"/>
  <c r="B87" i="1"/>
  <c r="D96" i="2"/>
  <c r="C106" i="2"/>
  <c r="C107" i="2"/>
  <c r="C139" i="2"/>
  <c r="B96" i="1" s="1"/>
  <c r="D99" i="2"/>
  <c r="C101" i="2" s="1"/>
  <c r="C129" i="2"/>
  <c r="B86" i="1" s="1"/>
  <c r="C144" i="2"/>
  <c r="B101" i="1" s="1"/>
  <c r="C79" i="2" l="1"/>
  <c r="C86" i="2"/>
  <c r="C108" i="2" s="1"/>
  <c r="C118" i="2" s="1"/>
  <c r="C136" i="2"/>
  <c r="B93" i="1" s="1"/>
  <c r="C146" i="2"/>
  <c r="B103" i="1" s="1"/>
  <c r="C131" i="2"/>
  <c r="B88" i="1" s="1"/>
  <c r="C141" i="2"/>
  <c r="B98" i="1" s="1"/>
  <c r="D101" i="2"/>
  <c r="D100" i="2"/>
  <c r="C123" i="2" s="1"/>
  <c r="C122" i="2" l="1"/>
  <c r="C124" i="2" s="1"/>
  <c r="B79" i="1" s="1"/>
  <c r="C117" i="2"/>
  <c r="B77" i="1" s="1"/>
  <c r="C126" i="2"/>
  <c r="B82" i="1" s="1"/>
  <c r="B78" i="1"/>
</calcChain>
</file>

<file path=xl/sharedStrings.xml><?xml version="1.0" encoding="utf-8"?>
<sst xmlns="http://schemas.openxmlformats.org/spreadsheetml/2006/main" count="441" uniqueCount="227">
  <si>
    <t>财务与人力资源推演模型 - Dashboard</t>
  </si>
  <si>
    <t>参数输入区</t>
  </si>
  <si>
    <t>1.1 薪酬参数 (Compensation Parameters)</t>
  </si>
  <si>
    <t>参数名称</t>
  </si>
  <si>
    <t>默认值</t>
  </si>
  <si>
    <t>单位</t>
  </si>
  <si>
    <t>描述与来源</t>
  </si>
  <si>
    <t>制作节点</t>
  </si>
  <si>
    <t>内审通过基础薪酬</t>
  </si>
  <si>
    <t>元/工作单位</t>
  </si>
  <si>
    <t>基于完成并通过内审的报酬 (引用元规则 XC-1-1 参数1)</t>
  </si>
  <si>
    <t>外审通过额外薪酬</t>
  </si>
  <si>
    <t>交付成果最终通过外审的额外奖励 (引用元规则 XC-1-1 参数2)</t>
  </si>
  <si>
    <t>S级月度奖金</t>
  </si>
  <si>
    <t>元/月</t>
  </si>
  <si>
    <t>当月保持S级状态获得的固定奖金 (引用元规则 XC-1-2 参数1)</t>
  </si>
  <si>
    <t>培训节点</t>
  </si>
  <si>
    <t>团队服务内审薪酬</t>
  </si>
  <si>
    <t>基于团队完成的工作单位，给培训节点的内审部分提成 (引用元规则 XC-1-1 参数1)</t>
  </si>
  <si>
    <t>团队服务外审薪酬</t>
  </si>
  <si>
    <t>基于团队完成的工作单位，给培训节点的外审部分提成 (引用元规则 XC-1-1 参数2)</t>
  </si>
  <si>
    <t>S级团队保持奖金</t>
  </si>
  <si>
    <t>元/人</t>
  </si>
  <si>
    <t>根据月末团队中S级成员数量发放的奖金 (引用元规则 XC-1-2 参数1)</t>
  </si>
  <si>
    <t>完成基础培训薪酬</t>
  </si>
  <si>
    <t>成功完成一名组员的基础培训所得奖励 (引用元规则 XC-2-1 参数1)</t>
  </si>
  <si>
    <t>新晋升S级培训薪酬</t>
  </si>
  <si>
    <t>成功将一名组员培养至S级所得奖励 (引用元规则 XC-2-1 参数2)</t>
  </si>
  <si>
    <t>节点晋升激励奖金</t>
  </si>
  <si>
    <t>培养的组员晋升为新培训节点时的一次性奖励 (引用元规则 XC-2-2 参数1)</t>
  </si>
  <si>
    <t>内审节点</t>
  </si>
  <si>
    <t>有效审核薪酬</t>
  </si>
  <si>
    <t>元/次</t>
  </si>
  <si>
    <t>内审通过后，一次性通过外审的审核报酬 (引用元规则 XC-3-1 参数1)</t>
  </si>
  <si>
    <t>无效审核薪酬</t>
  </si>
  <si>
    <t>内审通过后，未能一次性通过外审的审核报酬 (引用元规则 XC-3-1 参数2)</t>
  </si>
  <si>
    <t>项目管理节点</t>
  </si>
  <si>
    <t>订单全流程跟踪费</t>
  </si>
  <si>
    <t>元/单</t>
  </si>
  <si>
    <t>完整跟进一个订单全流程的报酬 (引用元规则 XC-4-1 参数1)</t>
  </si>
  <si>
    <t>1.2 业务核心参数 (Core Business Parameters)</t>
  </si>
  <si>
    <t>描述</t>
  </si>
  <si>
    <t>订单定价</t>
  </si>
  <si>
    <t>我们对客户就每个工作单位的报价</t>
  </si>
  <si>
    <t>平均弃单率</t>
  </si>
  <si>
    <t>%</t>
  </si>
  <si>
    <t>制作节点在任务周期内放弃订单的平均比率</t>
  </si>
  <si>
    <t>平均外审一次通过率</t>
  </si>
  <si>
    <t>内审通过的订单，首次提交给甲方审核的通过率</t>
  </si>
  <si>
    <t>平均外审通过率</t>
  </si>
  <si>
    <t>订单最终通过外审的比率</t>
  </si>
  <si>
    <t>平均内审次数</t>
  </si>
  <si>
    <t>次/工作单位</t>
  </si>
  <si>
    <t>单个工作单位从首次提交到通过内审，平均需要经历的内审次数</t>
  </si>
  <si>
    <t>1.3 人力与效率参数 (HR &amp; Efficiency Parameters)</t>
  </si>
  <si>
    <t>1.3.1 产能与规模 (Capacity &amp; Scale)</t>
  </si>
  <si>
    <t>月度工作单位容量</t>
  </si>
  <si>
    <t>工作单位/月</t>
  </si>
  <si>
    <t>一位标准的S级制作节点一个月的平均产能</t>
  </si>
  <si>
    <t>团队规模</t>
  </si>
  <si>
    <t>人/团队</t>
  </si>
  <si>
    <t>一位培训节点平均带领的制作节点数量</t>
  </si>
  <si>
    <t>月度审核总次数</t>
  </si>
  <si>
    <t>次/月</t>
  </si>
  <si>
    <t>一位标准的内审节点一个月的平均审核次数</t>
  </si>
  <si>
    <t>月度跟踪订单总数</t>
  </si>
  <si>
    <t>单/月</t>
  </si>
  <si>
    <t>一位标准的项目管理节点一个月的平均跟踪订单数</t>
  </si>
  <si>
    <t>运营模拟</t>
  </si>
  <si>
    <t>总S级制作节点数</t>
  </si>
  <si>
    <t>人</t>
  </si>
  <si>
    <t>用于模拟计算整体项目毛利率的团队规模基数</t>
  </si>
  <si>
    <t>1.3.2 人力转化漏斗 (HR Conversion Funnel)</t>
  </si>
  <si>
    <t>每月新招募总人数</t>
  </si>
  <si>
    <t>人/月</t>
  </si>
  <si>
    <t>每月新进入培训流程的总人数</t>
  </si>
  <si>
    <t>基础培训转化率</t>
  </si>
  <si>
    <t>新招募成员中，能完成基础培训的比例</t>
  </si>
  <si>
    <t>S级晋升转化率</t>
  </si>
  <si>
    <t>完成基础培训的成员中，最终能晋升为S级的比例</t>
  </si>
  <si>
    <t>S级成员晋升培训节点转化率</t>
  </si>
  <si>
    <t>%/月</t>
  </si>
  <si>
    <t>团队中S级成员，平均每月晋升为新培训节点的比率</t>
  </si>
  <si>
    <t>制作节点平均生命周期</t>
  </si>
  <si>
    <t>月</t>
  </si>
  <si>
    <t>一个制作节点从入职到离職的平均时长</t>
  </si>
  <si>
    <t>月均培训学员数(单培训节点)</t>
  </si>
  <si>
    <t>单个培训节点平均每月承接的新培训学员数量</t>
  </si>
  <si>
    <t>1.3.3 时间成本 (Time Cost)</t>
  </si>
  <si>
    <t>原子动作耗时</t>
  </si>
  <si>
    <t>单工作单位平均制作耗时</t>
  </si>
  <si>
    <t>小时/工作单位</t>
  </si>
  <si>
    <t>单次内审平均耗时</t>
  </si>
  <si>
    <t>小时/次</t>
  </si>
  <si>
    <t>单次订单跟踪平均耗时</t>
  </si>
  <si>
    <t>小时/单</t>
  </si>
  <si>
    <t>单个学员培训管理月均耗时</t>
  </si>
  <si>
    <t>小时/人/月</t>
  </si>
  <si>
    <t>培训节点投入在单个学员上的月均时间</t>
  </si>
  <si>
    <t>核心指标展示区 (Key Metrics Display)</t>
  </si>
  <si>
    <t>盈利能力 (Profitability)</t>
  </si>
  <si>
    <t>指标名称</t>
  </si>
  <si>
    <t>数值</t>
  </si>
  <si>
    <t>单工作单位毛利</t>
  </si>
  <si>
    <t>单S级节点月度毛利</t>
  </si>
  <si>
    <t>整体项目毛利率</t>
  </si>
  <si>
    <t>节点价值 (Node Value)</t>
  </si>
  <si>
    <t>单节点LTV</t>
  </si>
  <si>
    <t>元</t>
  </si>
  <si>
    <t>薪酬效率 (Compensation Efficiency)</t>
  </si>
  <si>
    <t>月薪</t>
  </si>
  <si>
    <t>月均工时</t>
  </si>
  <si>
    <t>小时/月</t>
  </si>
  <si>
    <t>时薪</t>
  </si>
  <si>
    <t>元/小时</t>
  </si>
  <si>
    <t>注："-"表示该值无法计算（可能由于除零或参数缺失）</t>
  </si>
  <si>
    <t>模型计算引擎 (Calculation Engine)</t>
  </si>
  <si>
    <t>区域A：参数链接区</t>
  </si>
  <si>
    <t>1.1 薪酬参数</t>
  </si>
  <si>
    <t>1.2 业务核心参数</t>
  </si>
  <si>
    <t>1.3 人力与效率参数</t>
  </si>
  <si>
    <t>1.3.1 产能与规模</t>
  </si>
  <si>
    <t>1.3.2 人力转化漏斗</t>
  </si>
  <si>
    <t>1.3.3 时间成本</t>
  </si>
  <si>
    <t>区域B：单工作单位订单模型计算</t>
  </si>
  <si>
    <t>成本构成项</t>
  </si>
  <si>
    <t>计算公式</t>
  </si>
  <si>
    <t>结果（元/工作单位）</t>
  </si>
  <si>
    <t>备注</t>
  </si>
  <si>
    <t>单位内审相关成本</t>
  </si>
  <si>
    <t>这部分成本受"弃单率"影响，因为弃单后需要重新分配，再次产生内审成本</t>
  </si>
  <si>
    <t>制作节点内审薪酬</t>
  </si>
  <si>
    <t>培训节点团队服务内审薪酬</t>
  </si>
  <si>
    <t>小计：单位内审名义成本</t>
  </si>
  <si>
    <t>(制作)内审薪酬 + (培训)内审薪酬</t>
  </si>
  <si>
    <t>内审节点审核成本</t>
  </si>
  <si>
    <t>((有效审核薪酬 * 外审一次通过率) + (无效审核薪酬 * (1 - 外审一次通过率))) * 平均内审次数</t>
  </si>
  <si>
    <t>((0 * 0.7) + (3 * 0.3)) * 1.5</t>
  </si>
  <si>
    <t>单位内审实际成本 (含弃单)</t>
  </si>
  <si>
    <t>(单位内审名义成本 + 内审节点审核成本) / (1 - 平均弃单率)</t>
  </si>
  <si>
    <t>(10 + 1.35) / (1 - 0.2)</t>
  </si>
  <si>
    <t>单位外审相关成本</t>
  </si>
  <si>
    <t>这部分成本只有在最终交付成功时产生</t>
  </si>
  <si>
    <t>制作节点外审薪酬</t>
  </si>
  <si>
    <t>培训节点团队服务外审薪酬</t>
  </si>
  <si>
    <t>小计：单位外审成本</t>
  </si>
  <si>
    <t>(制作)外审薪酬 + (培训)外审薪酬</t>
  </si>
  <si>
    <t>项目管理成本</t>
  </si>
  <si>
    <t>订单跟踪成本</t>
  </si>
  <si>
    <t>假设一个工作单位对应一个订单的跟踪</t>
  </si>
  <si>
    <t>总计：每工作单位交付成本</t>
  </si>
  <si>
    <t>单位内审实际成本 + 单位外审成本 * 平均外审通过率 + 订单跟踪成本</t>
  </si>
  <si>
    <t>14.1875 + 10 * 0.95 + [待定]</t>
  </si>
  <si>
    <t>区域C：AAARRR模型计算</t>
  </si>
  <si>
    <t>3.1 成本分析 (Cost Analysis)</t>
  </si>
  <si>
    <t>环节</t>
  </si>
  <si>
    <t>子项</t>
  </si>
  <si>
    <t>结果（元/人）</t>
  </si>
  <si>
    <t>Acquisition (招募)</t>
  </si>
  <si>
    <t>G-HR 渠道与人力成本</t>
  </si>
  <si>
    <t>[待定]</t>
  </si>
  <si>
    <t>暂未参数化，可设为固定值</t>
  </si>
  <si>
    <t>Activation (激活/培训)</t>
  </si>
  <si>
    <t>单S级节点总培训成本</t>
  </si>
  <si>
    <t>(新晋升S级培训薪酬) + ((1 / S级晋升转化率) - 1) * 完成基础培训薪酬</t>
  </si>
  <si>
    <t>100 + ((1 / 0.3) - 1) * 200</t>
  </si>
  <si>
    <t>Retention (留存)</t>
  </si>
  <si>
    <t>制作节点S级月度奖金</t>
  </si>
  <si>
    <t>培训节点S级团队保持奖金</t>
  </si>
  <si>
    <t>小计：单S级节点月度留存成本</t>
  </si>
  <si>
    <t>(制作)S级奖金 + (培训)S级奖金</t>
  </si>
  <si>
    <t>3.2 收益分析 (Revenue Analysis)</t>
  </si>
  <si>
    <t>收益项</t>
  </si>
  <si>
    <t>结果</t>
  </si>
  <si>
    <t>单S级节点月度贡献</t>
  </si>
  <si>
    <t>月度贡献工作单位</t>
  </si>
  <si>
    <t>工作单位</t>
  </si>
  <si>
    <t>月度贡献订单收入</t>
  </si>
  <si>
    <t>月度工作单位容量 * 订单定价</t>
  </si>
  <si>
    <t>月度贡献订单毛利</t>
  </si>
  <si>
    <t>月度贡献订单收入 - (月度工作单位容量 * 每工作单位交付成本)</t>
  </si>
  <si>
    <t>区域D：核心指标计算</t>
  </si>
  <si>
    <t>订单定价 - 每工作单位交付成本</t>
  </si>
  <si>
    <t>月度贡献订单毛利 - 单S级节点月度留存成本</t>
  </si>
  <si>
    <t>整体运营模拟 (Overall Simulation)</t>
  </si>
  <si>
    <t>为计算整体毛利率，需先定义以下过程变量</t>
  </si>
  <si>
    <t>每月新S级节点数</t>
  </si>
  <si>
    <t>每月新招募总人数 * 基础培训转化率 * S级晋升转化率</t>
  </si>
  <si>
    <t>总收入</t>
  </si>
  <si>
    <t>总S级制作节点数 * 月度工作单位容量 * 订单定价</t>
  </si>
  <si>
    <t>总订单成本</t>
  </si>
  <si>
    <t>总S级制作节点数 * 月度工作单位容量 * 每工作单位交付成本</t>
  </si>
  <si>
    <t>总AAARRR成本</t>
  </si>
  <si>
    <t>(每月新S级节点数 * 单S级节点总培训成本) + (总S级制作节点数 * 单S级节点月度留存成本)</t>
  </si>
  <si>
    <t>(总收入 - 总订单成本 - 总AAARRR成本) / 总收入</t>
  </si>
  <si>
    <t>综合指标，需基于团队总规模进行测算</t>
  </si>
  <si>
    <t>单S级节点月度毛利 * 制作节点平均生命周期 - 单S级节点总培训成本</t>
  </si>
  <si>
    <t>衡量一个制作节点在其生命周期内能带来的总价值</t>
  </si>
  <si>
    <t>制作节点月薪</t>
  </si>
  <si>
    <t>(月度工作单位容量 * 内审通过基础薪酬) + (月度工作单位容量 * 平均外审通过率 * 外审通过额外薪酬) + S级月度奖金</t>
  </si>
  <si>
    <t>制作节点月均工时</t>
  </si>
  <si>
    <t>月度工作单位容量 * 单工作单位平均制作耗时</t>
  </si>
  <si>
    <t>制作节点时薪</t>
  </si>
  <si>
    <t>制作节点月薪 / 制作节点月均工时</t>
  </si>
  <si>
    <t>培训节点月薪</t>
  </si>
  <si>
    <t>((B41*B39)*(B12+B13*B30))+(B41*B14)+(B57*B53*B15)+(B57*B53*B54*B16)+(B41*B55*B17)</t>
  </si>
  <si>
    <t>培训节点月均工时</t>
  </si>
  <si>
    <t>(月均培训学员数(单培训节点) * 单个学员培训管理月均耗时) + (团队规模 * 月度工作单位容量 * 0.05)</t>
  </si>
  <si>
    <t>培训节点时薪</t>
  </si>
  <si>
    <t>培训节点月薪 / 培训节点月均工时</t>
  </si>
  <si>
    <t>内审节点月薪</t>
  </si>
  <si>
    <t>月度审核总次数 * ((有效审核薪酬 * 平均外审一次通过率) + (无效审核薪酬 * (1 - 平均外审一次通过率)))</t>
  </si>
  <si>
    <t>内审节点月均工时</t>
  </si>
  <si>
    <t>月度审核总次数 * 单次内审平均耗时</t>
  </si>
  <si>
    <t>内审节点时薪</t>
  </si>
  <si>
    <t>内审节点月薪 / 内审节点月均工时</t>
  </si>
  <si>
    <t>项目管理节点月薪</t>
  </si>
  <si>
    <t>月度跟踪订单总数 * 订单全流程跟踪费</t>
  </si>
  <si>
    <t>项目管理节点月均工时</t>
  </si>
  <si>
    <t>月度跟踪订单总数 * 单次订单跟踪平均耗时</t>
  </si>
  <si>
    <t>项目管理节点时薪</t>
  </si>
  <si>
    <t>项目管理舒点月薪 / 项目管理节点月均工时</t>
  </si>
  <si>
    <t>数据源 (Data Sources)</t>
  </si>
  <si>
    <t>角色列表</t>
  </si>
  <si>
    <t>参数单位列表</t>
  </si>
  <si>
    <t>整体项目毛利率</t>
    <phoneticPr fontId="6" type="noConversion"/>
  </si>
  <si>
    <t>被我硬编码过</t>
    <phoneticPr fontId="6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</si>
</sst>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6" formatCode="0.0%"/>
    <numFmt numFmtId="177" formatCode="#,##0.0"/>
  </numFmts>
  <fonts count="7">
    <font>
      <sz val="11"/>
      <color theme="1"/>
      <name val="宋体"/>
      <family val="2"/>
      <scheme val="minor"/>
    </font>
    <font>
      <b/>
      <sz val="16"/>
      <color rgb="FFFFFFFF"/>
      <name val="宋体"/>
      <family val="3"/>
      <charset val="134"/>
    </font>
    <font>
      <b/>
      <sz val="14"/>
      <color rgb="FFFFFFFF"/>
      <name val="宋体"/>
      <family val="3"/>
      <charset val="134"/>
    </font>
    <font>
      <b/>
      <sz val="11"/>
      <name val="宋体"/>
      <family val="3"/>
      <charset val="134"/>
    </font>
    <font>
      <sz val="11"/>
      <name val="宋体"/>
      <family val="3"/>
      <charset val="134"/>
    </font>
    <font>
      <i/>
      <sz val="11"/>
      <color rgb="FF808080"/>
      <name val="宋体"/>
      <family val="3"/>
      <charset val="134"/>
    </font>
    <font>
      <sz val="9"/>
      <name val="宋体"/>
      <family val="3"/>
      <charset val="134"/>
      <scheme val="minor"/>
    </font>
  </fonts>
  <fills count="9">
    <fill>
      <patternFill patternType="none"/>
    </fill>
    <fill>
      <patternFill patternType="gray125"/>
    </fill>
    <fill>
      <patternFill patternType="solid">
        <fgColor rgb="FF1E4E89"/>
        <bgColor rgb="FF1E4E89"/>
      </patternFill>
    </fill>
    <fill>
      <patternFill patternType="solid">
        <fgColor rgb="FF5B9BD5"/>
        <bgColor rgb="FF5B9BD5"/>
      </patternFill>
    </fill>
    <fill>
      <patternFill patternType="solid">
        <fgColor rgb="FFD9E2F3"/>
        <bgColor rgb="FFD9E2F3"/>
      </patternFill>
    </fill>
    <fill>
      <patternFill patternType="solid">
        <fgColor rgb="FFE7E6E6"/>
        <bgColor rgb="FFE7E6E6"/>
      </patternFill>
    </fill>
    <fill>
      <patternFill patternType="solid">
        <fgColor rgb="FFFFFF99"/>
        <bgColor rgb="FFFFFF99"/>
      </patternFill>
    </fill>
    <fill>
      <patternFill patternType="solid">
        <fgColor rgb="FFF2F2F2"/>
        <bgColor rgb="FFF2F2F2"/>
      </patternFill>
    </fill>
    <fill>
      <patternFill patternType="solid">
        <fgColor rgb="FFFFFF00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28">
    <xf numFmtId="0" fontId="0" fillId="0" borderId="0" xfId="0"/>
    <xf numFmtId="0" fontId="3" fillId="4" borderId="0" xfId="0" applyFont="1" applyFill="1"/>
    <xf numFmtId="0" fontId="4" fillId="6" borderId="0" xfId="0" applyFont="1" applyFill="1" applyAlignment="1">
      <alignment horizontal="center" vertical="center"/>
    </xf>
    <xf numFmtId="0" fontId="2" fillId="3" borderId="0" xfId="0" applyFont="1" applyFill="1"/>
    <xf numFmtId="0" fontId="1" fillId="2" borderId="0" xfId="0" applyFont="1" applyFill="1"/>
    <xf numFmtId="0" fontId="4" fillId="4" borderId="1" xfId="0" applyFont="1" applyFill="1" applyBorder="1"/>
    <xf numFmtId="0" fontId="4" fillId="5" borderId="1" xfId="0" applyFont="1" applyFill="1" applyBorder="1"/>
    <xf numFmtId="0" fontId="4" fillId="0" borderId="1" xfId="0" applyFont="1" applyBorder="1"/>
    <xf numFmtId="0" fontId="4" fillId="6" borderId="1" xfId="0" applyFont="1" applyFill="1" applyBorder="1" applyAlignment="1">
      <alignment horizontal="center" vertical="center"/>
    </xf>
    <xf numFmtId="4" fontId="4" fillId="6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/>
    <xf numFmtId="0" fontId="3" fillId="5" borderId="1" xfId="0" applyFont="1" applyFill="1" applyBorder="1"/>
    <xf numFmtId="4" fontId="4" fillId="0" borderId="1" xfId="0" applyNumberFormat="1" applyFont="1" applyBorder="1" applyAlignment="1">
      <alignment horizontal="center" vertical="center"/>
    </xf>
    <xf numFmtId="176" fontId="4" fillId="0" borderId="1" xfId="0" applyNumberFormat="1" applyFont="1" applyBorder="1" applyAlignment="1">
      <alignment horizontal="center" vertical="center"/>
    </xf>
    <xf numFmtId="0" fontId="3" fillId="7" borderId="1" xfId="0" applyFont="1" applyFill="1" applyBorder="1"/>
    <xf numFmtId="0" fontId="3" fillId="7" borderId="1" xfId="0" applyFont="1" applyFill="1" applyBorder="1" applyAlignment="1">
      <alignment horizontal="center" vertical="center"/>
    </xf>
    <xf numFmtId="0" fontId="3" fillId="7" borderId="0" xfId="0" applyFont="1" applyFill="1"/>
    <xf numFmtId="0" fontId="3" fillId="7" borderId="0" xfId="0" applyFont="1" applyFill="1" applyAlignment="1">
      <alignment horizontal="center" vertical="center"/>
    </xf>
    <xf numFmtId="3" fontId="4" fillId="0" borderId="1" xfId="0" applyNumberFormat="1" applyFont="1" applyBorder="1" applyAlignment="1">
      <alignment horizontal="center" vertical="center"/>
    </xf>
    <xf numFmtId="177" fontId="4" fillId="0" borderId="1" xfId="0" applyNumberFormat="1" applyFont="1" applyBorder="1" applyAlignment="1">
      <alignment horizontal="center" vertical="center"/>
    </xf>
    <xf numFmtId="0" fontId="5" fillId="0" borderId="0" xfId="0" applyFont="1"/>
    <xf numFmtId="0" fontId="1" fillId="2" borderId="0" xfId="0" applyFont="1" applyFill="1" applyAlignment="1">
      <alignment horizontal="center" vertical="center"/>
    </xf>
    <xf numFmtId="0" fontId="0" fillId="0" borderId="0" xfId="0"/>
    <xf numFmtId="0" fontId="2" fillId="2" borderId="1" xfId="0" applyFont="1" applyFill="1" applyBorder="1" applyAlignment="1">
      <alignment horizontal="center" vertical="center"/>
    </xf>
    <xf numFmtId="0" fontId="0" fillId="0" borderId="2" xfId="0" applyBorder="1"/>
    <xf numFmtId="0" fontId="0" fillId="0" borderId="3" xfId="0" applyBorder="1"/>
    <xf numFmtId="0" fontId="2" fillId="3" borderId="0" xfId="0" applyFont="1" applyFill="1" applyAlignment="1">
      <alignment horizontal="center" vertical="center"/>
    </xf>
    <xf numFmtId="0" fontId="0" fillId="8" borderId="0" xfId="0" applyFill="1"/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8"/>
  <sheetViews>
    <sheetView tabSelected="1" topLeftCell="A72" zoomScale="156" workbookViewId="0">
      <selection activeCell="B30" sqref="B30"/>
    </sheetView>
  </sheetViews>
  <sheetFormatPr baseColWidth="10" defaultColWidth="8.83203125" defaultRowHeight="14"/>
  <cols>
    <col min="1" max="1" width="34.33203125" customWidth="1"/>
    <col min="2" max="2" width="25.6640625" customWidth="1"/>
    <col min="3" max="8" width="14.83203125" customWidth="1"/>
  </cols>
  <sheetData>
    <row r="1" spans="1:4" ht="19">
      <c r="A1" s="21" t="s">
        <v>0</v>
      </c>
      <c r="B1" s="22"/>
      <c r="C1" s="22"/>
      <c r="D1" s="22"/>
    </row>
    <row r="3" spans="1:4" ht="17">
      <c r="A3" s="26" t="s">
        <v>1</v>
      </c>
      <c r="B3" s="22"/>
      <c r="C3" s="22"/>
      <c r="D3" s="22"/>
    </row>
    <row r="5" spans="1:4">
      <c r="A5" s="5" t="s">
        <v>2</v>
      </c>
      <c r="B5" s="5"/>
      <c r="C5" s="5"/>
      <c r="D5" s="5"/>
    </row>
    <row r="6" spans="1:4">
      <c r="A6" s="6" t="s">
        <v>3</v>
      </c>
      <c r="B6" s="6" t="s">
        <v>4</v>
      </c>
      <c r="C6" s="6" t="s">
        <v>5</v>
      </c>
      <c r="D6" s="6" t="s">
        <v>6</v>
      </c>
    </row>
    <row r="7" spans="1:4">
      <c r="A7" s="14" t="s">
        <v>7</v>
      </c>
      <c r="B7" s="14"/>
      <c r="C7" s="14"/>
      <c r="D7" s="14"/>
    </row>
    <row r="8" spans="1:4">
      <c r="A8" s="7" t="s">
        <v>8</v>
      </c>
      <c r="B8" s="8">
        <v>5</v>
      </c>
      <c r="C8" s="7" t="s">
        <v>9</v>
      </c>
      <c r="D8" s="7" t="s">
        <v>10</v>
      </c>
    </row>
    <row r="9" spans="1:4">
      <c r="A9" s="7" t="s">
        <v>11</v>
      </c>
      <c r="B9" s="8">
        <v>10</v>
      </c>
      <c r="C9" s="7" t="s">
        <v>9</v>
      </c>
      <c r="D9" s="7" t="s">
        <v>12</v>
      </c>
    </row>
    <row r="10" spans="1:4">
      <c r="A10" s="7" t="s">
        <v>13</v>
      </c>
      <c r="B10" s="8">
        <v>500</v>
      </c>
      <c r="C10" s="7" t="s">
        <v>14</v>
      </c>
      <c r="D10" s="7" t="s">
        <v>15</v>
      </c>
    </row>
    <row r="11" spans="1:4">
      <c r="A11" s="14" t="s">
        <v>16</v>
      </c>
      <c r="B11" s="15"/>
      <c r="C11" s="14"/>
      <c r="D11" s="14"/>
    </row>
    <row r="12" spans="1:4">
      <c r="A12" s="7" t="s">
        <v>17</v>
      </c>
      <c r="B12" s="8">
        <v>0</v>
      </c>
      <c r="C12" s="7" t="s">
        <v>9</v>
      </c>
      <c r="D12" s="7" t="s">
        <v>18</v>
      </c>
    </row>
    <row r="13" spans="1:4">
      <c r="A13" s="7" t="s">
        <v>19</v>
      </c>
      <c r="B13" s="8">
        <v>1</v>
      </c>
      <c r="C13" s="7" t="s">
        <v>9</v>
      </c>
      <c r="D13" s="7" t="s">
        <v>20</v>
      </c>
    </row>
    <row r="14" spans="1:4">
      <c r="A14" s="7" t="s">
        <v>21</v>
      </c>
      <c r="B14" s="8">
        <v>100</v>
      </c>
      <c r="C14" s="7" t="s">
        <v>22</v>
      </c>
      <c r="D14" s="7" t="s">
        <v>23</v>
      </c>
    </row>
    <row r="15" spans="1:4">
      <c r="A15" s="7" t="s">
        <v>24</v>
      </c>
      <c r="B15" s="8">
        <v>100</v>
      </c>
      <c r="C15" s="7" t="s">
        <v>22</v>
      </c>
      <c r="D15" s="7" t="s">
        <v>25</v>
      </c>
    </row>
    <row r="16" spans="1:4">
      <c r="A16" s="7" t="s">
        <v>26</v>
      </c>
      <c r="B16" s="8">
        <v>200</v>
      </c>
      <c r="C16" s="7" t="s">
        <v>22</v>
      </c>
      <c r="D16" s="7" t="s">
        <v>27</v>
      </c>
    </row>
    <row r="17" spans="1:4">
      <c r="A17" s="7" t="s">
        <v>28</v>
      </c>
      <c r="B17" s="8">
        <v>1000</v>
      </c>
      <c r="C17" s="7" t="s">
        <v>22</v>
      </c>
      <c r="D17" s="7" t="s">
        <v>29</v>
      </c>
    </row>
    <row r="18" spans="1:4">
      <c r="A18" s="14" t="s">
        <v>30</v>
      </c>
      <c r="B18" s="15"/>
      <c r="C18" s="14"/>
      <c r="D18" s="14"/>
    </row>
    <row r="19" spans="1:4">
      <c r="A19" s="7" t="s">
        <v>31</v>
      </c>
      <c r="B19" s="8">
        <v>-4</v>
      </c>
      <c r="C19" s="7" t="s">
        <v>32</v>
      </c>
      <c r="D19" s="7" t="s">
        <v>33</v>
      </c>
    </row>
    <row r="20" spans="1:4">
      <c r="A20" s="7" t="s">
        <v>34</v>
      </c>
      <c r="B20" s="8">
        <v>0</v>
      </c>
      <c r="C20" s="7" t="s">
        <v>32</v>
      </c>
      <c r="D20" s="7" t="s">
        <v>35</v>
      </c>
    </row>
    <row r="21" spans="1:4">
      <c r="A21" s="14" t="s">
        <v>36</v>
      </c>
      <c r="B21" s="15"/>
      <c r="C21" s="14"/>
      <c r="D21" s="14"/>
    </row>
    <row r="22" spans="1:4">
      <c r="A22" s="7" t="s">
        <v>37</v>
      </c>
      <c r="B22" s="8">
        <v>1</v>
      </c>
      <c r="C22" s="7" t="s">
        <v>38</v>
      </c>
      <c r="D22" s="7" t="s">
        <v>39</v>
      </c>
    </row>
    <row r="25" spans="1:4">
      <c r="A25" s="5" t="s">
        <v>40</v>
      </c>
      <c r="B25" s="5"/>
      <c r="C25" s="5"/>
      <c r="D25" s="5"/>
    </row>
    <row r="26" spans="1:4">
      <c r="A26" s="6" t="s">
        <v>3</v>
      </c>
      <c r="B26" s="6" t="s">
        <v>4</v>
      </c>
      <c r="C26" s="6" t="s">
        <v>5</v>
      </c>
      <c r="D26" s="6" t="s">
        <v>41</v>
      </c>
    </row>
    <row r="27" spans="1:4">
      <c r="A27" s="7" t="s">
        <v>42</v>
      </c>
      <c r="B27" s="9">
        <v>30</v>
      </c>
      <c r="C27" s="7" t="s">
        <v>9</v>
      </c>
      <c r="D27" s="7" t="s">
        <v>43</v>
      </c>
    </row>
    <row r="28" spans="1:4">
      <c r="A28" s="7" t="s">
        <v>44</v>
      </c>
      <c r="B28" s="9">
        <v>0.2</v>
      </c>
      <c r="C28" s="7" t="s">
        <v>45</v>
      </c>
      <c r="D28" s="7" t="s">
        <v>46</v>
      </c>
    </row>
    <row r="29" spans="1:4">
      <c r="A29" s="7" t="s">
        <v>47</v>
      </c>
      <c r="B29" s="9">
        <v>0.4</v>
      </c>
      <c r="C29" s="7" t="s">
        <v>45</v>
      </c>
      <c r="D29" s="7" t="s">
        <v>48</v>
      </c>
    </row>
    <row r="30" spans="1:4">
      <c r="A30" s="7" t="s">
        <v>49</v>
      </c>
      <c r="B30" s="9">
        <v>0.95</v>
      </c>
      <c r="C30" s="7" t="s">
        <v>45</v>
      </c>
      <c r="D30" s="7" t="s">
        <v>50</v>
      </c>
    </row>
    <row r="31" spans="1:4">
      <c r="A31" s="7" t="s">
        <v>51</v>
      </c>
      <c r="B31" s="9">
        <v>1.5</v>
      </c>
      <c r="C31" s="7" t="s">
        <v>52</v>
      </c>
      <c r="D31" s="7" t="s">
        <v>53</v>
      </c>
    </row>
    <row r="34" spans="1:4">
      <c r="A34" t="s">
        <v>54</v>
      </c>
    </row>
    <row r="36" spans="1:4">
      <c r="A36" t="s">
        <v>55</v>
      </c>
    </row>
    <row r="37" spans="1:4">
      <c r="A37" t="s">
        <v>3</v>
      </c>
      <c r="B37" t="s">
        <v>4</v>
      </c>
      <c r="C37" t="s">
        <v>5</v>
      </c>
      <c r="D37" t="s">
        <v>41</v>
      </c>
    </row>
    <row r="38" spans="1:4">
      <c r="A38" s="16" t="s">
        <v>7</v>
      </c>
      <c r="B38" s="16"/>
      <c r="C38" s="16"/>
      <c r="D38" s="16"/>
    </row>
    <row r="39" spans="1:4">
      <c r="A39" t="s">
        <v>56</v>
      </c>
      <c r="B39" s="2">
        <v>150</v>
      </c>
      <c r="C39" t="s">
        <v>57</v>
      </c>
      <c r="D39" t="s">
        <v>58</v>
      </c>
    </row>
    <row r="40" spans="1:4">
      <c r="A40" s="16" t="s">
        <v>16</v>
      </c>
      <c r="B40" s="17"/>
      <c r="C40" s="16"/>
      <c r="D40" s="16"/>
    </row>
    <row r="41" spans="1:4">
      <c r="A41" t="s">
        <v>59</v>
      </c>
      <c r="B41" s="2">
        <v>20</v>
      </c>
      <c r="C41" t="s">
        <v>60</v>
      </c>
      <c r="D41" t="s">
        <v>61</v>
      </c>
    </row>
    <row r="42" spans="1:4">
      <c r="A42" s="16" t="s">
        <v>30</v>
      </c>
      <c r="B42" s="17"/>
      <c r="C42" s="16"/>
      <c r="D42" s="16"/>
    </row>
    <row r="43" spans="1:4">
      <c r="A43" t="s">
        <v>62</v>
      </c>
      <c r="B43" s="2">
        <v>2000</v>
      </c>
      <c r="C43" t="s">
        <v>63</v>
      </c>
      <c r="D43" t="s">
        <v>64</v>
      </c>
    </row>
    <row r="44" spans="1:4">
      <c r="A44" s="16" t="s">
        <v>36</v>
      </c>
      <c r="B44" s="17"/>
      <c r="C44" s="16"/>
      <c r="D44" s="16"/>
    </row>
    <row r="45" spans="1:4">
      <c r="A45" t="s">
        <v>65</v>
      </c>
      <c r="B45" s="2">
        <v>1000</v>
      </c>
      <c r="C45" t="s">
        <v>66</v>
      </c>
      <c r="D45" t="s">
        <v>67</v>
      </c>
    </row>
    <row r="46" spans="1:4">
      <c r="A46" s="16" t="s">
        <v>68</v>
      </c>
      <c r="B46" s="17"/>
      <c r="C46" s="16"/>
      <c r="D46" s="16"/>
    </row>
    <row r="47" spans="1:4">
      <c r="A47" t="s">
        <v>69</v>
      </c>
      <c r="B47" s="2">
        <v>30</v>
      </c>
      <c r="C47" t="s">
        <v>70</v>
      </c>
      <c r="D47" t="s">
        <v>71</v>
      </c>
    </row>
    <row r="51" spans="1:4">
      <c r="A51" t="s">
        <v>72</v>
      </c>
    </row>
    <row r="52" spans="1:4">
      <c r="A52" t="s">
        <v>3</v>
      </c>
      <c r="B52" s="2" t="s">
        <v>4</v>
      </c>
      <c r="C52" t="s">
        <v>5</v>
      </c>
      <c r="D52" t="s">
        <v>41</v>
      </c>
    </row>
    <row r="53" spans="1:4">
      <c r="A53" t="s">
        <v>73</v>
      </c>
      <c r="B53" s="2">
        <v>20</v>
      </c>
      <c r="C53" t="s">
        <v>74</v>
      </c>
      <c r="D53" t="s">
        <v>75</v>
      </c>
    </row>
    <row r="54" spans="1:4">
      <c r="A54" t="s">
        <v>76</v>
      </c>
      <c r="B54" s="2">
        <v>0.8</v>
      </c>
      <c r="C54" t="s">
        <v>45</v>
      </c>
      <c r="D54" t="s">
        <v>77</v>
      </c>
    </row>
    <row r="55" spans="1:4">
      <c r="A55" t="s">
        <v>78</v>
      </c>
      <c r="B55" s="2">
        <v>0.3</v>
      </c>
      <c r="C55" t="s">
        <v>45</v>
      </c>
      <c r="D55" t="s">
        <v>79</v>
      </c>
    </row>
    <row r="56" spans="1:4">
      <c r="A56" t="s">
        <v>80</v>
      </c>
      <c r="B56" s="2">
        <v>0.05</v>
      </c>
      <c r="C56" t="s">
        <v>81</v>
      </c>
      <c r="D56" t="s">
        <v>82</v>
      </c>
    </row>
    <row r="57" spans="1:4">
      <c r="A57" t="s">
        <v>83</v>
      </c>
      <c r="B57" s="2">
        <v>6</v>
      </c>
      <c r="C57" t="s">
        <v>84</v>
      </c>
      <c r="D57" t="s">
        <v>85</v>
      </c>
    </row>
    <row r="58" spans="1:4">
      <c r="A58" t="s">
        <v>86</v>
      </c>
      <c r="B58">
        <v>10</v>
      </c>
      <c r="C58" t="s">
        <v>74</v>
      </c>
      <c r="D58" t="s">
        <v>87</v>
      </c>
    </row>
    <row r="62" spans="1:4">
      <c r="A62" t="s">
        <v>88</v>
      </c>
    </row>
    <row r="63" spans="1:4">
      <c r="A63" t="s">
        <v>3</v>
      </c>
      <c r="B63" t="s">
        <v>4</v>
      </c>
      <c r="C63" t="s">
        <v>5</v>
      </c>
      <c r="D63" t="s">
        <v>41</v>
      </c>
    </row>
    <row r="64" spans="1:4">
      <c r="A64" s="16" t="s">
        <v>89</v>
      </c>
      <c r="B64" s="16"/>
      <c r="C64" s="16"/>
      <c r="D64" s="16"/>
    </row>
    <row r="65" spans="1:4">
      <c r="A65" t="s">
        <v>90</v>
      </c>
      <c r="B65" s="2">
        <v>0.5</v>
      </c>
      <c r="C65" t="s">
        <v>91</v>
      </c>
    </row>
    <row r="66" spans="1:4">
      <c r="A66" t="s">
        <v>92</v>
      </c>
      <c r="B66" s="2">
        <v>0.08</v>
      </c>
      <c r="C66" t="s">
        <v>93</v>
      </c>
    </row>
    <row r="67" spans="1:4">
      <c r="A67" t="s">
        <v>94</v>
      </c>
      <c r="B67" s="2">
        <v>0.32</v>
      </c>
      <c r="C67" t="s">
        <v>95</v>
      </c>
    </row>
    <row r="68" spans="1:4">
      <c r="A68" t="s">
        <v>96</v>
      </c>
      <c r="B68" s="2">
        <v>4</v>
      </c>
      <c r="C68" t="s">
        <v>97</v>
      </c>
      <c r="D68" t="s">
        <v>98</v>
      </c>
    </row>
    <row r="73" spans="1:4" ht="17">
      <c r="A73" s="23" t="s">
        <v>99</v>
      </c>
      <c r="B73" s="24"/>
      <c r="C73" s="25"/>
    </row>
    <row r="74" spans="1:4">
      <c r="A74" s="7"/>
      <c r="B74" s="7"/>
      <c r="C74" s="7"/>
    </row>
    <row r="75" spans="1:4">
      <c r="A75" s="10" t="s">
        <v>100</v>
      </c>
      <c r="B75" s="10"/>
      <c r="C75" s="10"/>
    </row>
    <row r="76" spans="1:4">
      <c r="A76" s="11" t="s">
        <v>101</v>
      </c>
      <c r="B76" s="11" t="s">
        <v>102</v>
      </c>
      <c r="C76" s="11" t="s">
        <v>5</v>
      </c>
    </row>
    <row r="77" spans="1:4">
      <c r="A77" s="7" t="s">
        <v>103</v>
      </c>
      <c r="B77" s="12">
        <f>模型计算!C117</f>
        <v>15.3</v>
      </c>
      <c r="C77" s="7" t="s">
        <v>9</v>
      </c>
    </row>
    <row r="78" spans="1:4">
      <c r="A78" s="7" t="s">
        <v>104</v>
      </c>
      <c r="B78" s="12">
        <f>模型计算!C118</f>
        <v>1695</v>
      </c>
      <c r="C78" s="7" t="s">
        <v>14</v>
      </c>
    </row>
    <row r="79" spans="1:4">
      <c r="A79" s="7" t="s">
        <v>225</v>
      </c>
      <c r="B79" s="13">
        <f>IFERROR(模型计算!C124,0)</f>
        <v>0.36125925925925928</v>
      </c>
      <c r="C79" s="7" t="s">
        <v>45</v>
      </c>
    </row>
    <row r="80" spans="1:4">
      <c r="A80" s="7"/>
      <c r="B80" s="7"/>
      <c r="C80" s="7"/>
    </row>
    <row r="81" spans="1:3">
      <c r="A81" s="7" t="s">
        <v>106</v>
      </c>
      <c r="B81" s="7"/>
      <c r="C81" s="7"/>
    </row>
    <row r="82" spans="1:3">
      <c r="A82" s="7" t="s">
        <v>107</v>
      </c>
      <c r="B82" s="18">
        <f>模型计算!C126</f>
        <v>9736.6666666666661</v>
      </c>
      <c r="C82" s="7" t="s">
        <v>108</v>
      </c>
    </row>
    <row r="83" spans="1:3">
      <c r="A83" s="7"/>
      <c r="B83" s="7"/>
      <c r="C83" s="7"/>
    </row>
    <row r="84" spans="1:3">
      <c r="A84" s="7" t="s">
        <v>109</v>
      </c>
      <c r="B84" s="7"/>
      <c r="C84" s="7"/>
    </row>
    <row r="85" spans="1:3">
      <c r="A85" s="14" t="s">
        <v>7</v>
      </c>
      <c r="B85" s="14"/>
      <c r="C85" s="14"/>
    </row>
    <row r="86" spans="1:3">
      <c r="A86" s="7" t="s">
        <v>110</v>
      </c>
      <c r="B86" s="18">
        <f>模型计算!C129</f>
        <v>2675</v>
      </c>
      <c r="C86" s="7" t="s">
        <v>14</v>
      </c>
    </row>
    <row r="87" spans="1:3">
      <c r="A87" s="7" t="s">
        <v>111</v>
      </c>
      <c r="B87" s="19">
        <f>模型计算!C130</f>
        <v>75</v>
      </c>
      <c r="C87" s="7" t="s">
        <v>112</v>
      </c>
    </row>
    <row r="88" spans="1:3">
      <c r="A88" s="7" t="s">
        <v>113</v>
      </c>
      <c r="B88" s="12">
        <f>模型计算!C131</f>
        <v>35.666666666666664</v>
      </c>
      <c r="C88" s="7" t="s">
        <v>114</v>
      </c>
    </row>
    <row r="89" spans="1:3">
      <c r="A89" s="7"/>
      <c r="B89" s="7"/>
      <c r="C89" s="7"/>
    </row>
    <row r="90" spans="1:3">
      <c r="A90" s="14" t="s">
        <v>16</v>
      </c>
      <c r="B90" s="14"/>
      <c r="C90" s="14"/>
    </row>
    <row r="91" spans="1:3">
      <c r="A91" s="7" t="s">
        <v>110</v>
      </c>
      <c r="B91" s="18">
        <f>模型计算!C134</f>
        <v>7130</v>
      </c>
      <c r="C91" s="7" t="s">
        <v>14</v>
      </c>
    </row>
    <row r="92" spans="1:3">
      <c r="A92" s="7" t="s">
        <v>111</v>
      </c>
      <c r="B92" s="19">
        <f>模型计算!C135</f>
        <v>100</v>
      </c>
      <c r="C92" s="7" t="s">
        <v>112</v>
      </c>
    </row>
    <row r="93" spans="1:3">
      <c r="A93" s="7" t="s">
        <v>113</v>
      </c>
      <c r="B93" s="12">
        <f>IFERROR(模型计算!C136,"-")</f>
        <v>71.3</v>
      </c>
      <c r="C93" s="7" t="s">
        <v>114</v>
      </c>
    </row>
    <row r="94" spans="1:3">
      <c r="A94" s="7"/>
      <c r="B94" s="7"/>
      <c r="C94" s="7"/>
    </row>
    <row r="95" spans="1:3">
      <c r="A95" s="14" t="s">
        <v>30</v>
      </c>
      <c r="B95" s="14"/>
      <c r="C95" s="14"/>
    </row>
    <row r="96" spans="1:3">
      <c r="A96" s="7" t="s">
        <v>110</v>
      </c>
      <c r="B96" s="18">
        <f>模型计算!C139</f>
        <v>-3200</v>
      </c>
      <c r="C96" s="7" t="s">
        <v>14</v>
      </c>
    </row>
    <row r="97" spans="1:4">
      <c r="A97" s="7" t="s">
        <v>111</v>
      </c>
      <c r="B97" s="19">
        <f>模型计算!C140</f>
        <v>160</v>
      </c>
      <c r="C97" s="7" t="s">
        <v>112</v>
      </c>
    </row>
    <row r="98" spans="1:4">
      <c r="A98" s="7" t="s">
        <v>113</v>
      </c>
      <c r="B98" s="12">
        <f>模型计算!C141</f>
        <v>-20</v>
      </c>
      <c r="C98" s="7" t="s">
        <v>114</v>
      </c>
    </row>
    <row r="99" spans="1:4">
      <c r="A99" s="7"/>
      <c r="B99" s="7"/>
      <c r="C99" s="7"/>
    </row>
    <row r="100" spans="1:4">
      <c r="A100" s="14" t="s">
        <v>36</v>
      </c>
      <c r="B100" s="14"/>
      <c r="C100" s="14"/>
    </row>
    <row r="101" spans="1:4">
      <c r="A101" s="7" t="s">
        <v>110</v>
      </c>
      <c r="B101" s="18">
        <f>模型计算!C144</f>
        <v>1000</v>
      </c>
      <c r="C101" s="7" t="s">
        <v>14</v>
      </c>
    </row>
    <row r="102" spans="1:4">
      <c r="A102" s="7" t="s">
        <v>111</v>
      </c>
      <c r="B102" s="19">
        <f>模型计算!C145</f>
        <v>0</v>
      </c>
      <c r="C102" s="7" t="s">
        <v>112</v>
      </c>
    </row>
    <row r="103" spans="1:4">
      <c r="A103" s="7" t="s">
        <v>113</v>
      </c>
      <c r="B103" s="12">
        <f>IFERROR(模型计算!C146,"-")</f>
        <v>0</v>
      </c>
      <c r="C103" s="7" t="s">
        <v>114</v>
      </c>
    </row>
    <row r="104" spans="1:4">
      <c r="A104" s="7"/>
      <c r="B104" s="7"/>
      <c r="C104" s="7"/>
    </row>
    <row r="105" spans="1:4">
      <c r="A105" s="7"/>
      <c r="B105" s="7"/>
      <c r="C105" s="7"/>
    </row>
    <row r="108" spans="1:4">
      <c r="A108" s="20" t="s">
        <v>115</v>
      </c>
      <c r="B108" s="20"/>
      <c r="C108" s="20"/>
      <c r="D108" s="20"/>
    </row>
  </sheetData>
  <mergeCells count="3">
    <mergeCell ref="A1:D1"/>
    <mergeCell ref="A73:C73"/>
    <mergeCell ref="A3:D3"/>
  </mergeCells>
  <phoneticPr fontId="6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E146"/>
  <sheetViews>
    <sheetView topLeftCell="A83" zoomScale="150" workbookViewId="0">
      <selection activeCell="B83" sqref="B83"/>
    </sheetView>
  </sheetViews>
  <sheetFormatPr baseColWidth="10" defaultColWidth="8.83203125" defaultRowHeight="14"/>
  <cols>
    <col min="1" max="1" width="35.5" customWidth="1"/>
    <col min="2" max="2" width="60.83203125" customWidth="1"/>
    <col min="3" max="4" width="35.5" customWidth="1"/>
    <col min="5" max="6" width="18.83203125" customWidth="1"/>
  </cols>
  <sheetData>
    <row r="1" spans="1:4" ht="19">
      <c r="A1" s="21" t="s">
        <v>116</v>
      </c>
      <c r="B1" s="22"/>
      <c r="C1" s="22"/>
      <c r="D1" s="22"/>
    </row>
    <row r="3" spans="1:4" ht="17">
      <c r="A3" s="3" t="s">
        <v>117</v>
      </c>
      <c r="B3" s="3"/>
      <c r="C3" s="3"/>
      <c r="D3" s="3"/>
    </row>
    <row r="5" spans="1:4">
      <c r="A5" t="s">
        <v>118</v>
      </c>
    </row>
    <row r="6" spans="1:4">
      <c r="A6" t="s">
        <v>3</v>
      </c>
      <c r="B6" t="s">
        <v>102</v>
      </c>
      <c r="C6" t="s">
        <v>5</v>
      </c>
    </row>
    <row r="7" spans="1:4">
      <c r="A7" t="s">
        <v>7</v>
      </c>
    </row>
    <row r="8" spans="1:4">
      <c r="A8" t="s">
        <v>8</v>
      </c>
      <c r="B8">
        <f>Dashboard!B8</f>
        <v>5</v>
      </c>
      <c r="C8" t="s">
        <v>9</v>
      </c>
    </row>
    <row r="9" spans="1:4">
      <c r="A9" t="s">
        <v>11</v>
      </c>
      <c r="B9">
        <f>Dashboard!B9</f>
        <v>10</v>
      </c>
      <c r="C9" t="s">
        <v>9</v>
      </c>
    </row>
    <row r="10" spans="1:4">
      <c r="A10" t="s">
        <v>13</v>
      </c>
      <c r="B10">
        <f>Dashboard!B10</f>
        <v>500</v>
      </c>
      <c r="C10" t="s">
        <v>14</v>
      </c>
    </row>
    <row r="11" spans="1:4">
      <c r="A11" t="s">
        <v>16</v>
      </c>
    </row>
    <row r="12" spans="1:4">
      <c r="A12" t="s">
        <v>17</v>
      </c>
      <c r="B12">
        <f>Dashboard!B12</f>
        <v>0</v>
      </c>
      <c r="C12" t="s">
        <v>9</v>
      </c>
    </row>
    <row r="13" spans="1:4">
      <c r="A13" t="s">
        <v>19</v>
      </c>
      <c r="B13">
        <f>Dashboard!B13</f>
        <v>1</v>
      </c>
      <c r="C13" t="s">
        <v>9</v>
      </c>
    </row>
    <row r="14" spans="1:4">
      <c r="A14" t="s">
        <v>21</v>
      </c>
      <c r="B14">
        <f>Dashboard!B14</f>
        <v>100</v>
      </c>
      <c r="C14" t="s">
        <v>22</v>
      </c>
    </row>
    <row r="15" spans="1:4">
      <c r="A15" t="s">
        <v>24</v>
      </c>
      <c r="B15">
        <f>Dashboard!B15</f>
        <v>100</v>
      </c>
      <c r="C15" t="s">
        <v>22</v>
      </c>
    </row>
    <row r="16" spans="1:4">
      <c r="A16" t="s">
        <v>26</v>
      </c>
      <c r="B16">
        <f>Dashboard!B16</f>
        <v>200</v>
      </c>
      <c r="C16" t="s">
        <v>22</v>
      </c>
    </row>
    <row r="17" spans="1:3">
      <c r="A17" t="s">
        <v>28</v>
      </c>
      <c r="B17">
        <f>Dashboard!B17</f>
        <v>1000</v>
      </c>
      <c r="C17" t="s">
        <v>22</v>
      </c>
    </row>
    <row r="18" spans="1:3">
      <c r="A18" t="s">
        <v>30</v>
      </c>
    </row>
    <row r="19" spans="1:3">
      <c r="A19" t="s">
        <v>31</v>
      </c>
      <c r="B19">
        <f>Dashboard!B19</f>
        <v>-4</v>
      </c>
      <c r="C19" t="s">
        <v>32</v>
      </c>
    </row>
    <row r="20" spans="1:3">
      <c r="A20" t="s">
        <v>34</v>
      </c>
      <c r="B20">
        <f>Dashboard!B20</f>
        <v>0</v>
      </c>
      <c r="C20" t="s">
        <v>32</v>
      </c>
    </row>
    <row r="21" spans="1:3">
      <c r="A21" t="s">
        <v>36</v>
      </c>
    </row>
    <row r="22" spans="1:3">
      <c r="A22" t="s">
        <v>37</v>
      </c>
      <c r="B22">
        <f>Dashboard!B22</f>
        <v>1</v>
      </c>
      <c r="C22" t="s">
        <v>38</v>
      </c>
    </row>
    <row r="25" spans="1:3">
      <c r="A25" t="s">
        <v>119</v>
      </c>
    </row>
    <row r="26" spans="1:3">
      <c r="A26" t="s">
        <v>3</v>
      </c>
      <c r="B26" t="s">
        <v>102</v>
      </c>
      <c r="C26" t="s">
        <v>5</v>
      </c>
    </row>
    <row r="27" spans="1:3">
      <c r="A27" t="s">
        <v>42</v>
      </c>
      <c r="B27">
        <f>Dashboard!B27</f>
        <v>30</v>
      </c>
      <c r="C27" t="s">
        <v>9</v>
      </c>
    </row>
    <row r="28" spans="1:3">
      <c r="A28" t="s">
        <v>44</v>
      </c>
      <c r="B28">
        <f>Dashboard!B28</f>
        <v>0.2</v>
      </c>
      <c r="C28" t="s">
        <v>45</v>
      </c>
    </row>
    <row r="29" spans="1:3">
      <c r="A29" t="s">
        <v>47</v>
      </c>
      <c r="B29">
        <f>Dashboard!B29</f>
        <v>0.4</v>
      </c>
      <c r="C29" t="s">
        <v>45</v>
      </c>
    </row>
    <row r="30" spans="1:3">
      <c r="A30" t="s">
        <v>49</v>
      </c>
      <c r="B30">
        <f>Dashboard!B30</f>
        <v>0.95</v>
      </c>
      <c r="C30" t="s">
        <v>45</v>
      </c>
    </row>
    <row r="31" spans="1:3">
      <c r="A31" t="s">
        <v>51</v>
      </c>
      <c r="B31">
        <f>Dashboard!B31</f>
        <v>1.5</v>
      </c>
      <c r="C31" t="s">
        <v>52</v>
      </c>
    </row>
    <row r="34" spans="1:3">
      <c r="A34" t="s">
        <v>120</v>
      </c>
    </row>
    <row r="36" spans="1:3">
      <c r="A36" t="s">
        <v>121</v>
      </c>
    </row>
    <row r="37" spans="1:3">
      <c r="A37" t="s">
        <v>3</v>
      </c>
      <c r="B37" t="s">
        <v>102</v>
      </c>
      <c r="C37" t="s">
        <v>5</v>
      </c>
    </row>
    <row r="38" spans="1:3">
      <c r="A38" t="s">
        <v>7</v>
      </c>
    </row>
    <row r="39" spans="1:3">
      <c r="A39" t="s">
        <v>56</v>
      </c>
      <c r="B39">
        <f>Dashboard!B39</f>
        <v>150</v>
      </c>
      <c r="C39" t="s">
        <v>57</v>
      </c>
    </row>
    <row r="40" spans="1:3">
      <c r="A40" t="s">
        <v>16</v>
      </c>
    </row>
    <row r="41" spans="1:3">
      <c r="A41" t="s">
        <v>59</v>
      </c>
      <c r="B41">
        <f>Dashboard!B41</f>
        <v>20</v>
      </c>
      <c r="C41" t="s">
        <v>60</v>
      </c>
    </row>
    <row r="42" spans="1:3">
      <c r="A42" t="s">
        <v>30</v>
      </c>
    </row>
    <row r="43" spans="1:3">
      <c r="A43" t="s">
        <v>62</v>
      </c>
      <c r="B43">
        <f>Dashboard!B43</f>
        <v>2000</v>
      </c>
      <c r="C43" t="s">
        <v>63</v>
      </c>
    </row>
    <row r="44" spans="1:3">
      <c r="A44" t="s">
        <v>36</v>
      </c>
    </row>
    <row r="45" spans="1:3">
      <c r="A45" t="s">
        <v>65</v>
      </c>
      <c r="B45">
        <f>Dashboard!B45</f>
        <v>1000</v>
      </c>
      <c r="C45" t="s">
        <v>66</v>
      </c>
    </row>
    <row r="46" spans="1:3">
      <c r="A46" t="s">
        <v>68</v>
      </c>
    </row>
    <row r="47" spans="1:3">
      <c r="A47" t="s">
        <v>69</v>
      </c>
      <c r="B47">
        <f>Dashboard!B47</f>
        <v>30</v>
      </c>
      <c r="C47" t="s">
        <v>70</v>
      </c>
    </row>
    <row r="50" spans="1:3">
      <c r="A50" t="s">
        <v>122</v>
      </c>
    </row>
    <row r="51" spans="1:3">
      <c r="A51" t="s">
        <v>3</v>
      </c>
      <c r="B51" t="s">
        <v>102</v>
      </c>
      <c r="C51" t="s">
        <v>5</v>
      </c>
    </row>
    <row r="52" spans="1:3">
      <c r="A52" t="s">
        <v>73</v>
      </c>
      <c r="B52">
        <f>Dashboard!B53</f>
        <v>20</v>
      </c>
      <c r="C52" t="s">
        <v>74</v>
      </c>
    </row>
    <row r="53" spans="1:3">
      <c r="A53" t="s">
        <v>76</v>
      </c>
      <c r="B53">
        <f>Dashboard!B54</f>
        <v>0.8</v>
      </c>
      <c r="C53" t="s">
        <v>45</v>
      </c>
    </row>
    <row r="54" spans="1:3">
      <c r="A54" t="s">
        <v>78</v>
      </c>
      <c r="B54">
        <f>Dashboard!B55</f>
        <v>0.3</v>
      </c>
      <c r="C54" t="s">
        <v>45</v>
      </c>
    </row>
    <row r="55" spans="1:3">
      <c r="A55" t="s">
        <v>80</v>
      </c>
      <c r="B55">
        <f>Dashboard!B56</f>
        <v>0.05</v>
      </c>
      <c r="C55" t="s">
        <v>81</v>
      </c>
    </row>
    <row r="56" spans="1:3">
      <c r="A56" t="s">
        <v>83</v>
      </c>
      <c r="B56">
        <f>Dashboard!B57</f>
        <v>6</v>
      </c>
      <c r="C56" t="s">
        <v>84</v>
      </c>
    </row>
    <row r="57" spans="1:3">
      <c r="A57" t="s">
        <v>86</v>
      </c>
      <c r="B57">
        <f>Dashboard!B58</f>
        <v>10</v>
      </c>
      <c r="C57" t="s">
        <v>74</v>
      </c>
    </row>
    <row r="60" spans="1:3">
      <c r="A60" t="s">
        <v>123</v>
      </c>
    </row>
    <row r="61" spans="1:3">
      <c r="A61" t="s">
        <v>3</v>
      </c>
      <c r="B61" t="s">
        <v>102</v>
      </c>
      <c r="C61" t="s">
        <v>5</v>
      </c>
    </row>
    <row r="62" spans="1:3">
      <c r="A62" t="s">
        <v>89</v>
      </c>
    </row>
    <row r="63" spans="1:3">
      <c r="A63" t="s">
        <v>90</v>
      </c>
      <c r="B63">
        <f>Dashboard!B65</f>
        <v>0.5</v>
      </c>
      <c r="C63" t="s">
        <v>91</v>
      </c>
    </row>
    <row r="64" spans="1:3">
      <c r="A64" t="s">
        <v>92</v>
      </c>
      <c r="B64">
        <f>Dashboard!B66</f>
        <v>0.08</v>
      </c>
      <c r="C64" t="s">
        <v>93</v>
      </c>
    </row>
    <row r="65" spans="1:4">
      <c r="A65" t="s">
        <v>94</v>
      </c>
      <c r="B65">
        <f>Dashboard!B67</f>
        <v>0.32</v>
      </c>
      <c r="C65" t="s">
        <v>95</v>
      </c>
    </row>
    <row r="66" spans="1:4">
      <c r="A66" t="s">
        <v>96</v>
      </c>
      <c r="B66">
        <f>Dashboard!B68</f>
        <v>4</v>
      </c>
      <c r="C66" t="s">
        <v>97</v>
      </c>
    </row>
    <row r="71" spans="1:4" ht="17">
      <c r="A71" s="3" t="s">
        <v>124</v>
      </c>
      <c r="B71" s="3"/>
      <c r="C71" s="3"/>
      <c r="D71" s="3"/>
    </row>
    <row r="73" spans="1:4">
      <c r="A73" t="s">
        <v>125</v>
      </c>
      <c r="B73" t="s">
        <v>126</v>
      </c>
      <c r="C73" t="s">
        <v>127</v>
      </c>
      <c r="D73" t="s">
        <v>128</v>
      </c>
    </row>
    <row r="74" spans="1:4" s="27" customFormat="1">
      <c r="A74" s="27" t="s">
        <v>129</v>
      </c>
      <c r="D74" s="27" t="s">
        <v>130</v>
      </c>
    </row>
    <row r="75" spans="1:4">
      <c r="A75" t="s">
        <v>131</v>
      </c>
      <c r="B75" t="s">
        <v>8</v>
      </c>
      <c r="C75">
        <f>B8</f>
        <v>5</v>
      </c>
    </row>
    <row r="76" spans="1:4">
      <c r="A76" t="s">
        <v>132</v>
      </c>
      <c r="B76" t="s">
        <v>17</v>
      </c>
      <c r="C76">
        <f>B12</f>
        <v>0</v>
      </c>
    </row>
    <row r="77" spans="1:4">
      <c r="A77" t="s">
        <v>133</v>
      </c>
      <c r="B77" t="s">
        <v>134</v>
      </c>
      <c r="C77">
        <f>C75+C76</f>
        <v>5</v>
      </c>
    </row>
    <row r="78" spans="1:4">
      <c r="A78" t="s">
        <v>135</v>
      </c>
      <c r="B78" t="s">
        <v>136</v>
      </c>
      <c r="C78">
        <f>((B19*B29)+(B20*(1-B29)))*B31</f>
        <v>-2.4000000000000004</v>
      </c>
      <c r="D78" t="s">
        <v>137</v>
      </c>
    </row>
    <row r="79" spans="1:4">
      <c r="A79" t="s">
        <v>138</v>
      </c>
      <c r="B79" t="s">
        <v>139</v>
      </c>
      <c r="C79">
        <f>(C77+C78)/(1-B28)</f>
        <v>3.2499999999999996</v>
      </c>
      <c r="D79" t="s">
        <v>140</v>
      </c>
    </row>
    <row r="80" spans="1:4" s="27" customFormat="1">
      <c r="A80" s="27" t="s">
        <v>141</v>
      </c>
      <c r="D80" s="27" t="s">
        <v>142</v>
      </c>
    </row>
    <row r="81" spans="1:5">
      <c r="A81" t="s">
        <v>143</v>
      </c>
      <c r="B81" t="s">
        <v>11</v>
      </c>
      <c r="C81">
        <f>B9</f>
        <v>10</v>
      </c>
    </row>
    <row r="82" spans="1:5">
      <c r="A82" t="s">
        <v>144</v>
      </c>
      <c r="B82" t="s">
        <v>19</v>
      </c>
      <c r="C82">
        <f>B13</f>
        <v>1</v>
      </c>
    </row>
    <row r="83" spans="1:5">
      <c r="A83" t="s">
        <v>145</v>
      </c>
      <c r="B83" t="s">
        <v>146</v>
      </c>
      <c r="C83">
        <f>C81+C82</f>
        <v>11</v>
      </c>
    </row>
    <row r="84" spans="1:5" s="27" customFormat="1">
      <c r="A84" s="27" t="s">
        <v>147</v>
      </c>
    </row>
    <row r="85" spans="1:5">
      <c r="A85" t="s">
        <v>148</v>
      </c>
      <c r="B85" t="s">
        <v>37</v>
      </c>
      <c r="C85">
        <f>B22</f>
        <v>1</v>
      </c>
      <c r="D85" t="s">
        <v>149</v>
      </c>
    </row>
    <row r="86" spans="1:5">
      <c r="A86" t="s">
        <v>150</v>
      </c>
      <c r="B86" t="s">
        <v>151</v>
      </c>
      <c r="C86">
        <f>C79+C83*B30+C85</f>
        <v>14.7</v>
      </c>
      <c r="D86" t="s">
        <v>152</v>
      </c>
    </row>
    <row r="90" spans="1:5" ht="17">
      <c r="A90" s="3" t="s">
        <v>153</v>
      </c>
      <c r="B90" s="3"/>
      <c r="C90" s="3"/>
      <c r="D90" s="3"/>
      <c r="E90" s="3"/>
    </row>
    <row r="92" spans="1:5">
      <c r="A92" t="s">
        <v>154</v>
      </c>
    </row>
    <row r="93" spans="1:5">
      <c r="A93" t="s">
        <v>155</v>
      </c>
      <c r="B93" t="s">
        <v>156</v>
      </c>
      <c r="C93" t="s">
        <v>126</v>
      </c>
      <c r="D93" t="s">
        <v>157</v>
      </c>
      <c r="E93" t="s">
        <v>128</v>
      </c>
    </row>
    <row r="94" spans="1:5" s="27" customFormat="1">
      <c r="A94" s="27" t="s">
        <v>158</v>
      </c>
    </row>
    <row r="95" spans="1:5">
      <c r="A95" t="s">
        <v>159</v>
      </c>
      <c r="B95" t="s">
        <v>160</v>
      </c>
      <c r="C95" t="s">
        <v>160</v>
      </c>
      <c r="D95">
        <v>100</v>
      </c>
      <c r="E95" t="s">
        <v>161</v>
      </c>
    </row>
    <row r="96" spans="1:5" s="27" customFormat="1">
      <c r="A96" s="27" t="s">
        <v>162</v>
      </c>
      <c r="D96" s="27">
        <f>B16+((1/B54)-1)*B15</f>
        <v>433.33333333333337</v>
      </c>
    </row>
    <row r="97" spans="1:5">
      <c r="A97" t="s">
        <v>163</v>
      </c>
      <c r="B97" t="s">
        <v>164</v>
      </c>
      <c r="D97">
        <f>B16+((1/B54)-1)*B15</f>
        <v>433.33333333333337</v>
      </c>
      <c r="E97" t="s">
        <v>165</v>
      </c>
    </row>
    <row r="98" spans="1:5" s="27" customFormat="1">
      <c r="A98" s="27" t="s">
        <v>166</v>
      </c>
      <c r="D98" s="27">
        <f>B10</f>
        <v>500</v>
      </c>
    </row>
    <row r="99" spans="1:5">
      <c r="A99" t="s">
        <v>167</v>
      </c>
      <c r="B99" t="s">
        <v>13</v>
      </c>
      <c r="D99">
        <f>B14</f>
        <v>100</v>
      </c>
    </row>
    <row r="100" spans="1:5">
      <c r="A100" t="s">
        <v>168</v>
      </c>
      <c r="B100" t="s">
        <v>21</v>
      </c>
      <c r="C100">
        <f>B14</f>
        <v>100</v>
      </c>
      <c r="D100">
        <f>D98+D99</f>
        <v>600</v>
      </c>
    </row>
    <row r="101" spans="1:5">
      <c r="A101" t="s">
        <v>169</v>
      </c>
      <c r="B101" t="s">
        <v>170</v>
      </c>
      <c r="C101">
        <f>D98+D99</f>
        <v>600</v>
      </c>
      <c r="D101">
        <f>D98+D99</f>
        <v>600</v>
      </c>
    </row>
    <row r="103" spans="1:5">
      <c r="A103" t="s">
        <v>171</v>
      </c>
    </row>
    <row r="104" spans="1:5">
      <c r="A104" t="s">
        <v>172</v>
      </c>
      <c r="B104" t="s">
        <v>126</v>
      </c>
      <c r="C104" t="s">
        <v>173</v>
      </c>
      <c r="D104" t="s">
        <v>128</v>
      </c>
    </row>
    <row r="105" spans="1:5" s="27" customFormat="1">
      <c r="A105" s="27" t="s">
        <v>174</v>
      </c>
    </row>
    <row r="106" spans="1:5">
      <c r="A106" t="s">
        <v>175</v>
      </c>
      <c r="B106" t="s">
        <v>56</v>
      </c>
      <c r="C106">
        <f>B39</f>
        <v>150</v>
      </c>
      <c r="D106" t="s">
        <v>176</v>
      </c>
    </row>
    <row r="107" spans="1:5">
      <c r="A107" t="s">
        <v>177</v>
      </c>
      <c r="B107" t="s">
        <v>178</v>
      </c>
      <c r="C107">
        <f>B39*B27</f>
        <v>4500</v>
      </c>
    </row>
    <row r="108" spans="1:5">
      <c r="A108" t="s">
        <v>179</v>
      </c>
      <c r="B108" t="s">
        <v>180</v>
      </c>
      <c r="C108">
        <f>C107-(B39*C86)</f>
        <v>2295</v>
      </c>
    </row>
    <row r="113" spans="1:4" ht="17">
      <c r="A113" s="3" t="s">
        <v>181</v>
      </c>
      <c r="B113" s="3"/>
      <c r="C113" s="3"/>
      <c r="D113" s="3"/>
    </row>
    <row r="115" spans="1:4">
      <c r="A115" t="s">
        <v>101</v>
      </c>
      <c r="B115" t="s">
        <v>126</v>
      </c>
      <c r="C115" t="s">
        <v>173</v>
      </c>
      <c r="D115" t="s">
        <v>128</v>
      </c>
    </row>
    <row r="116" spans="1:4">
      <c r="A116" t="s">
        <v>100</v>
      </c>
    </row>
    <row r="117" spans="1:4">
      <c r="A117" t="s">
        <v>103</v>
      </c>
      <c r="B117" t="s">
        <v>182</v>
      </c>
      <c r="C117">
        <f>B27-C86</f>
        <v>15.3</v>
      </c>
      <c r="D117" t="s">
        <v>9</v>
      </c>
    </row>
    <row r="118" spans="1:4">
      <c r="A118" t="s">
        <v>104</v>
      </c>
      <c r="B118" t="s">
        <v>183</v>
      </c>
      <c r="C118">
        <f>C108-D100</f>
        <v>1695</v>
      </c>
      <c r="D118" t="s">
        <v>14</v>
      </c>
    </row>
    <row r="119" spans="1:4">
      <c r="A119" t="s">
        <v>184</v>
      </c>
      <c r="D119" t="s">
        <v>185</v>
      </c>
    </row>
    <row r="120" spans="1:4">
      <c r="A120" t="s">
        <v>186</v>
      </c>
      <c r="B120" t="s">
        <v>187</v>
      </c>
      <c r="C120">
        <f>B52*B53*B54</f>
        <v>4.8</v>
      </c>
      <c r="D120" t="s">
        <v>70</v>
      </c>
    </row>
    <row r="121" spans="1:4">
      <c r="A121" t="s">
        <v>188</v>
      </c>
      <c r="B121" t="s">
        <v>189</v>
      </c>
      <c r="C121">
        <f>B47*B39*B27</f>
        <v>135000</v>
      </c>
      <c r="D121" t="s">
        <v>108</v>
      </c>
    </row>
    <row r="122" spans="1:4">
      <c r="A122" t="s">
        <v>190</v>
      </c>
      <c r="B122" t="s">
        <v>191</v>
      </c>
      <c r="C122">
        <f>B47*B39*C86</f>
        <v>66150</v>
      </c>
      <c r="D122" t="s">
        <v>108</v>
      </c>
    </row>
    <row r="123" spans="1:4">
      <c r="A123" t="s">
        <v>192</v>
      </c>
      <c r="B123" t="s">
        <v>193</v>
      </c>
      <c r="C123">
        <f>(C120*D96)+(B47*D100)</f>
        <v>20080</v>
      </c>
      <c r="D123" t="s">
        <v>108</v>
      </c>
    </row>
    <row r="124" spans="1:4">
      <c r="A124" t="s">
        <v>105</v>
      </c>
      <c r="B124" t="s">
        <v>194</v>
      </c>
      <c r="C124">
        <f>IF(C121=0,0,(C121-C122-C123)/C121)</f>
        <v>0.36125925925925928</v>
      </c>
      <c r="D124" t="s">
        <v>195</v>
      </c>
    </row>
    <row r="125" spans="1:4">
      <c r="A125" t="s">
        <v>106</v>
      </c>
    </row>
    <row r="126" spans="1:4">
      <c r="B126" t="s">
        <v>196</v>
      </c>
      <c r="C126">
        <f>C118*B56-D96</f>
        <v>9736.6666666666661</v>
      </c>
      <c r="D126" t="s">
        <v>197</v>
      </c>
    </row>
    <row r="127" spans="1:4">
      <c r="A127" t="s">
        <v>109</v>
      </c>
    </row>
    <row r="128" spans="1:4">
      <c r="A128" t="s">
        <v>7</v>
      </c>
    </row>
    <row r="129" spans="1:5">
      <c r="A129" t="s">
        <v>198</v>
      </c>
      <c r="B129" t="s">
        <v>199</v>
      </c>
      <c r="C129">
        <f>(B39*B8)+(B39*B30*B9)+B10</f>
        <v>2675</v>
      </c>
      <c r="D129" t="s">
        <v>14</v>
      </c>
    </row>
    <row r="130" spans="1:5">
      <c r="A130" t="s">
        <v>200</v>
      </c>
      <c r="B130" t="s">
        <v>201</v>
      </c>
      <c r="C130">
        <f>B39*B63</f>
        <v>75</v>
      </c>
      <c r="D130" t="s">
        <v>112</v>
      </c>
    </row>
    <row r="131" spans="1:5">
      <c r="A131" t="s">
        <v>202</v>
      </c>
      <c r="B131" t="s">
        <v>203</v>
      </c>
      <c r="C131">
        <f>IF(C130=0,0,C129/C130)</f>
        <v>35.666666666666664</v>
      </c>
      <c r="D131" t="s">
        <v>114</v>
      </c>
    </row>
    <row r="133" spans="1:5">
      <c r="A133" t="s">
        <v>16</v>
      </c>
    </row>
    <row r="134" spans="1:5">
      <c r="A134" t="s">
        <v>204</v>
      </c>
      <c r="B134" t="s">
        <v>205</v>
      </c>
      <c r="C134">
        <f>((B41*B39)*(B12+B13*B30))+(B41*B14)+(B57*B53*B15)+(B57*B53*B54*B16)+(B41*B55*B17)</f>
        <v>7130</v>
      </c>
      <c r="D134" t="s">
        <v>14</v>
      </c>
    </row>
    <row r="135" spans="1:5">
      <c r="A135" t="s">
        <v>206</v>
      </c>
      <c r="B135" t="s">
        <v>207</v>
      </c>
      <c r="C135">
        <f>(B57*B66)+(B41*B39*0.1)*0.2</f>
        <v>100</v>
      </c>
      <c r="D135" t="s">
        <v>112</v>
      </c>
      <c r="E135" t="s">
        <v>226</v>
      </c>
    </row>
    <row r="136" spans="1:5">
      <c r="A136" t="s">
        <v>208</v>
      </c>
      <c r="B136" t="s">
        <v>209</v>
      </c>
      <c r="C136">
        <f>IF(C135=0,0,C134/C135)</f>
        <v>71.3</v>
      </c>
      <c r="D136" t="s">
        <v>114</v>
      </c>
    </row>
    <row r="138" spans="1:5">
      <c r="A138" t="s">
        <v>30</v>
      </c>
    </row>
    <row r="139" spans="1:5">
      <c r="A139" t="s">
        <v>210</v>
      </c>
      <c r="B139" t="s">
        <v>211</v>
      </c>
      <c r="C139">
        <f>B43*((B19*B29)+(B20*(1-B29)))</f>
        <v>-3200</v>
      </c>
      <c r="D139" t="s">
        <v>14</v>
      </c>
    </row>
    <row r="140" spans="1:5">
      <c r="A140" t="s">
        <v>212</v>
      </c>
      <c r="B140" t="s">
        <v>213</v>
      </c>
      <c r="C140">
        <f>B43*B64</f>
        <v>160</v>
      </c>
      <c r="D140" t="s">
        <v>112</v>
      </c>
    </row>
    <row r="141" spans="1:5">
      <c r="A141" t="s">
        <v>214</v>
      </c>
      <c r="B141" t="s">
        <v>215</v>
      </c>
      <c r="C141">
        <f>IF(C140=0,0,C139/C140)</f>
        <v>-20</v>
      </c>
      <c r="D141" t="s">
        <v>114</v>
      </c>
    </row>
    <row r="143" spans="1:5">
      <c r="A143" t="s">
        <v>36</v>
      </c>
    </row>
    <row r="144" spans="1:5">
      <c r="A144" t="s">
        <v>216</v>
      </c>
      <c r="B144" t="s">
        <v>217</v>
      </c>
      <c r="C144">
        <f>B45*B22</f>
        <v>1000</v>
      </c>
      <c r="D144" t="s">
        <v>14</v>
      </c>
    </row>
    <row r="145" spans="1:4">
      <c r="A145" t="s">
        <v>218</v>
      </c>
      <c r="B145" t="s">
        <v>219</v>
      </c>
      <c r="C145">
        <f>B45*B67</f>
        <v>0</v>
      </c>
      <c r="D145" t="s">
        <v>112</v>
      </c>
    </row>
    <row r="146" spans="1:4">
      <c r="A146" t="s">
        <v>220</v>
      </c>
      <c r="B146" t="s">
        <v>221</v>
      </c>
      <c r="C146">
        <f>IF(C145=0,0,C144/C145)</f>
        <v>0</v>
      </c>
      <c r="D146" t="s">
        <v>114</v>
      </c>
    </row>
  </sheetData>
  <mergeCells count="1">
    <mergeCell ref="A1:D1"/>
  </mergeCells>
  <phoneticPr fontId="6" type="noConversion"/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27"/>
  <sheetViews>
    <sheetView topLeftCell="A6" zoomScale="190" workbookViewId="0"/>
  </sheetViews>
  <sheetFormatPr baseColWidth="10" defaultColWidth="8.83203125" defaultRowHeight="14"/>
  <cols>
    <col min="1" max="1" width="34.6640625" customWidth="1"/>
  </cols>
  <sheetData>
    <row r="1" spans="1:1" ht="19">
      <c r="A1" s="4" t="s">
        <v>222</v>
      </c>
    </row>
    <row r="3" spans="1:1">
      <c r="A3" s="1" t="s">
        <v>223</v>
      </c>
    </row>
    <row r="4" spans="1:1">
      <c r="A4" t="s">
        <v>7</v>
      </c>
    </row>
    <row r="5" spans="1:1">
      <c r="A5" t="s">
        <v>16</v>
      </c>
    </row>
    <row r="6" spans="1:1">
      <c r="A6" t="s">
        <v>30</v>
      </c>
    </row>
    <row r="7" spans="1:1">
      <c r="A7" t="s">
        <v>36</v>
      </c>
    </row>
    <row r="9" spans="1:1">
      <c r="A9" s="1" t="s">
        <v>224</v>
      </c>
    </row>
    <row r="10" spans="1:1">
      <c r="A10" t="s">
        <v>9</v>
      </c>
    </row>
    <row r="11" spans="1:1">
      <c r="A11" t="s">
        <v>14</v>
      </c>
    </row>
    <row r="12" spans="1:1">
      <c r="A12" t="s">
        <v>22</v>
      </c>
    </row>
    <row r="13" spans="1:1">
      <c r="A13" t="s">
        <v>32</v>
      </c>
    </row>
    <row r="14" spans="1:1">
      <c r="A14" t="s">
        <v>38</v>
      </c>
    </row>
    <row r="15" spans="1:1">
      <c r="A15" t="s">
        <v>45</v>
      </c>
    </row>
    <row r="16" spans="1:1">
      <c r="A16" t="s">
        <v>52</v>
      </c>
    </row>
    <row r="17" spans="1:1">
      <c r="A17" t="s">
        <v>57</v>
      </c>
    </row>
    <row r="18" spans="1:1">
      <c r="A18" t="s">
        <v>60</v>
      </c>
    </row>
    <row r="19" spans="1:1">
      <c r="A19" t="s">
        <v>63</v>
      </c>
    </row>
    <row r="20" spans="1:1">
      <c r="A20" t="s">
        <v>66</v>
      </c>
    </row>
    <row r="21" spans="1:1">
      <c r="A21" t="s">
        <v>74</v>
      </c>
    </row>
    <row r="22" spans="1:1">
      <c r="A22" t="s">
        <v>81</v>
      </c>
    </row>
    <row r="23" spans="1:1">
      <c r="A23" t="s">
        <v>84</v>
      </c>
    </row>
    <row r="24" spans="1:1">
      <c r="A24" t="s">
        <v>91</v>
      </c>
    </row>
    <row r="25" spans="1:1">
      <c r="A25" t="s">
        <v>93</v>
      </c>
    </row>
    <row r="26" spans="1:1">
      <c r="A26" t="s">
        <v>95</v>
      </c>
    </row>
    <row r="27" spans="1:1">
      <c r="A27" t="s">
        <v>97</v>
      </c>
    </row>
  </sheetData>
  <phoneticPr fontId="6" type="noConversion"/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Dashboard</vt:lpstr>
      <vt:lpstr>模型计算</vt:lpstr>
      <vt:lpstr>数据源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Microsoft Office User</cp:lastModifiedBy>
  <dcterms:created xsi:type="dcterms:W3CDTF">2025-09-02T12:34:02Z</dcterms:created>
  <dcterms:modified xsi:type="dcterms:W3CDTF">2025-09-02T15:38:48Z</dcterms:modified>
</cp:coreProperties>
</file>